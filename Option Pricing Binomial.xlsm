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ele\Desktop\Important Storage\Documents\VBA Work\"/>
    </mc:Choice>
  </mc:AlternateContent>
  <xr:revisionPtr revIDLastSave="0" documentId="13_ncr:1_{DF3E497F-7480-4000-89B9-49B5D87DFD11}" xr6:coauthVersionLast="46" xr6:coauthVersionMax="46" xr10:uidLastSave="{00000000-0000-0000-0000-000000000000}"/>
  <bookViews>
    <workbookView xWindow="-120" yWindow="-120" windowWidth="29040" windowHeight="15840" xr2:uid="{E85C4C71-8D1D-4536-B49B-50F67C69E48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" l="1" a="1"/>
  <c r="B13" i="1" a="1"/>
  <c r="B14" i="1" a="1"/>
  <c r="B14" i="1" l="1"/>
  <c r="B13" i="1"/>
  <c r="B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<sst xmlns="http://schemas.openxmlformats.org/spreadsheetml/2006/main" count="17" uniqueCount="17">
  <si>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Binomial Tree Calculator</t>
  </si>
  <si>
    <t>S</t>
  </si>
  <si>
    <t>Discrete Divs</t>
  </si>
  <si>
    <t>Discrete Times</t>
  </si>
  <si>
    <t>X</t>
  </si>
  <si>
    <t>r</t>
  </si>
  <si>
    <t>vol</t>
  </si>
  <si>
    <t>div</t>
  </si>
  <si>
    <t>T</t>
  </si>
  <si>
    <t>steps</t>
  </si>
  <si>
    <t>Optype</t>
  </si>
  <si>
    <t>ExerType</t>
  </si>
  <si>
    <t>Binomial Tree</t>
  </si>
  <si>
    <t>Binomial Tree Delta</t>
  </si>
  <si>
    <t>Binomial Tree Vega</t>
  </si>
  <si>
    <t>(1=Call, 2= Put)</t>
  </si>
  <si>
    <t>(1= American, 2= European)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</si>
</sst>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2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5D0C4-3C03-4BEC-BADC-DD78AFFAB468}">
  <sheetPr codeName="Sheet1"/>
  <dimension ref="A1:F14"/>
  <sheetViews>
    <sheetView tabSelected="1" workbookViewId="0">
      <selection activeCell="E13" sqref="E13"/>
    </sheetView>
  </sheetViews>
  <sheetFormatPr defaultRowHeight="15" x14ac:dyDescent="0.25"/>
  <cols>
    <col min="1" max="1" width="62.140625" bestFit="1" customWidth="1"/>
    <col min="2" max="2" width="14" customWidth="1"/>
    <col min="5" max="5" width="12.42578125" bestFit="1" customWidth="1"/>
    <col min="6" max="6" width="14.140625" bestFit="1" customWidth="1"/>
  </cols>
  <sheetData>
    <row r="1" spans="1:6" x14ac:dyDescent="0.25">
      <c r="A1" t="s">
        <v>0</v>
      </c>
    </row>
    <row r="2" spans="1:6" x14ac:dyDescent="0.25">
      <c r="A2" t="s">
        <v>1</v>
      </c>
      <c r="B2">
        <v>67</v>
      </c>
      <c r="E2" t="s">
        <v>2</v>
      </c>
      <c r="F2" t="s">
        <v>3</v>
      </c>
    </row>
    <row r="3" spans="1:6" x14ac:dyDescent="0.25">
      <c r="A3" t="s">
        <v>4</v>
      </c>
      <c r="B3">
        <v>65</v>
      </c>
      <c r="E3">
        <v>1</v>
      </c>
      <c r="F3" s="1">
        <v>0.5</v>
      </c>
    </row>
    <row r="4" spans="1:6" x14ac:dyDescent="0.25">
      <c r="A4" t="s">
        <v>5</v>
      </c>
      <c r="B4">
        <v>0.03</v>
      </c>
      <c r="E4">
        <v>1.2</v>
      </c>
      <c r="F4" s="2">
        <v>0.75</v>
      </c>
    </row>
    <row r="5" spans="1:6" x14ac:dyDescent="0.25">
      <c r="A5" t="s">
        <v>6</v>
      </c>
      <c r="B5">
        <v>0.3</v>
      </c>
    </row>
    <row r="6" spans="1:6" x14ac:dyDescent="0.25">
      <c r="A6" t="s">
        <v>7</v>
      </c>
      <c r="B6">
        <v>0</v>
      </c>
    </row>
    <row r="7" spans="1:6" x14ac:dyDescent="0.25">
      <c r="A7" t="s">
        <v>8</v>
      </c>
      <c r="B7" s="2">
        <v>1</v>
      </c>
    </row>
    <row r="8" spans="1:6" x14ac:dyDescent="0.25">
      <c r="A8" t="s">
        <v>9</v>
      </c>
      <c r="B8">
        <v>2</v>
      </c>
    </row>
    <row r="9" spans="1:6" x14ac:dyDescent="0.25">
      <c r="A9" t="s">
        <v>10</v>
      </c>
      <c r="B9">
        <v>1</v>
      </c>
      <c r="C9" t="s">
        <v>15</v>
      </c>
    </row>
    <row r="10" spans="1:6" x14ac:dyDescent="0.25">
      <c r="A10" t="s">
        <v>11</v>
      </c>
      <c r="B10">
        <v>2</v>
      </c>
      <c r="C10" t="s">
        <v>16</v>
      </c>
    </row>
    <row r="12" spans="1:6" x14ac:dyDescent="0.25">
      <c r="A12" t="s">
        <v>12</v>
      </c>
      <c r="B12" s="3" cm="1">
        <f t="array" ref="B12">CRRPrice(B2,B3,B4,B5,B6,B7,B8,B9,B10,E3:E5,F3:F5)</f>
        <v>7.7743342584709136</v>
      </c>
    </row>
    <row r="13" spans="1:6" x14ac:dyDescent="0.25">
      <c r="A13" t="s">
        <v>13</v>
      </c>
      <c r="B13" s="3" cm="1">
        <f t="array" ref="B13">CRRDelta(B2,B3,B4,B5,B6,B7,B8,B9,B10,E3:E5,F3:F5)</f>
        <v>0.59009121328272707</v>
      </c>
    </row>
    <row r="14" spans="1:6" x14ac:dyDescent="0.25">
      <c r="A14" t="s">
        <v>14</v>
      </c>
      <c r="B14" s="3" cm="1">
        <f t="array" ref="B14">CRRVega(B2,B3,B4,B5,B6,B7,B8,B9,2,E3:E5,F3:F5)</f>
        <v>22.198521925335335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Zieleman</dc:creator>
  <cp:lastModifiedBy>Jim Zieleman</cp:lastModifiedBy>
  <dcterms:created xsi:type="dcterms:W3CDTF">2020-10-01T01:48:02Z</dcterms:created>
  <dcterms:modified xsi:type="dcterms:W3CDTF">2021-02-20T20:58:16Z</dcterms:modified>
</cp:coreProperties>
</file>