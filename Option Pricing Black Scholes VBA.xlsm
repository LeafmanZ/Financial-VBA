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ownloads\"/>
    </mc:Choice>
  </mc:AlternateContent>
  <xr:revisionPtr revIDLastSave="0" documentId="13_ncr:1_{01B98A46-E4F8-42DF-A79B-67B74C65DA45}" xr6:coauthVersionLast="45" xr6:coauthVersionMax="45" xr10:uidLastSave="{00000000-0000-0000-0000-000000000000}"/>
  <bookViews>
    <workbookView xWindow="-120" yWindow="-120" windowWidth="29040" windowHeight="15840" xr2:uid="{CD577557-3E0A-40C8-ADEB-EEE5AA64A85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 a="1"/>
  <c r="B11" i="1" a="1"/>
  <c r="B12" i="1" l="1"/>
  <c r="B11" i="1"/>
  <c r="F3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<sst xmlns="http://schemas.openxmlformats.org/spreadsheetml/2006/main" count="13" uniqueCount="13">
  <si>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Black-Scholes Calculator</t>
  </si>
  <si>
    <t>S</t>
  </si>
  <si>
    <t>X</t>
  </si>
  <si>
    <t>r</t>
  </si>
  <si>
    <t>vol</t>
  </si>
  <si>
    <t>continuous prop. div</t>
  </si>
  <si>
    <t>T</t>
  </si>
  <si>
    <t>Optype</t>
  </si>
  <si>
    <t>Option Value</t>
  </si>
  <si>
    <t>Delta Value</t>
  </si>
  <si>
    <t>Discrete Dividends</t>
  </si>
  <si>
    <t>Discrete Dividend Times</t>
  </si>
  <si>
    <t>1 = Call 2 = 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</si>
</sst>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00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8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6198-7BD2-44B7-B207-96C396D9317E}">
  <sheetPr codeName="Sheet1"/>
  <dimension ref="A1:F12"/>
  <sheetViews>
    <sheetView tabSelected="1" workbookViewId="0">
      <selection activeCell="M3" sqref="M3"/>
    </sheetView>
  </sheetViews>
  <sheetFormatPr defaultRowHeight="15" x14ac:dyDescent="0.25"/>
  <cols>
    <col min="1" max="1" width="22.7109375" bestFit="1" customWidth="1"/>
    <col min="2" max="2" width="9.140625" customWidth="1"/>
    <col min="5" max="5" width="18.140625" customWidth="1"/>
    <col min="6" max="6" width="22.85546875" bestFit="1" customWidth="1"/>
  </cols>
  <sheetData>
    <row r="1" spans="1:6" x14ac:dyDescent="0.25">
      <c r="A1" s="3" t="s">
        <v>0</v>
      </c>
      <c r="B1" s="3"/>
    </row>
    <row r="2" spans="1:6" x14ac:dyDescent="0.25">
      <c r="E2" t="s">
        <v>10</v>
      </c>
      <c r="F2" t="s">
        <v>11</v>
      </c>
    </row>
    <row r="3" spans="1:6" x14ac:dyDescent="0.25">
      <c r="A3" t="s">
        <v>1</v>
      </c>
      <c r="B3">
        <v>125</v>
      </c>
      <c r="E3">
        <f>0.75</f>
        <v>0.75</v>
      </c>
      <c r="F3">
        <f>0.1</f>
        <v>0.1</v>
      </c>
    </row>
    <row r="4" spans="1:6" x14ac:dyDescent="0.25">
      <c r="A4" t="s">
        <v>2</v>
      </c>
      <c r="B4">
        <v>127</v>
      </c>
    </row>
    <row r="5" spans="1:6" x14ac:dyDescent="0.25">
      <c r="A5" t="s">
        <v>3</v>
      </c>
      <c r="B5">
        <v>0.02</v>
      </c>
    </row>
    <row r="6" spans="1:6" x14ac:dyDescent="0.25">
      <c r="A6" t="s">
        <v>4</v>
      </c>
      <c r="B6">
        <v>0.3</v>
      </c>
    </row>
    <row r="7" spans="1:6" x14ac:dyDescent="0.25">
      <c r="A7" t="s">
        <v>5</v>
      </c>
      <c r="B7">
        <v>0</v>
      </c>
    </row>
    <row r="8" spans="1:6" x14ac:dyDescent="0.25">
      <c r="A8" t="s">
        <v>6</v>
      </c>
      <c r="B8">
        <v>0.25</v>
      </c>
    </row>
    <row r="9" spans="1:6" x14ac:dyDescent="0.25">
      <c r="A9" t="s">
        <v>7</v>
      </c>
      <c r="B9">
        <v>2</v>
      </c>
      <c r="C9" t="s">
        <v>12</v>
      </c>
    </row>
    <row r="11" spans="1:6" x14ac:dyDescent="0.25">
      <c r="A11" t="s">
        <v>8</v>
      </c>
      <c r="B11" cm="1">
        <f t="array" ref="B11">BSPrice(B3,B4,B5,B6,B7,B8,E3:E5,F3:F5,B9)</f>
        <v>8.5964803009933206</v>
      </c>
      <c r="D11" s="1"/>
      <c r="E11" s="2"/>
    </row>
    <row r="12" spans="1:6" x14ac:dyDescent="0.25">
      <c r="A12" t="s">
        <v>9</v>
      </c>
      <c r="B12" cm="1">
        <f t="array" ref="B12">BSDelta(B3,B4,B5,B6,B7,B8,E3:E5,F3:F5,B9)</f>
        <v>-0.51496873684514344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Andrade-Blanco</dc:creator>
  <cp:lastModifiedBy>Jim Zieleman</cp:lastModifiedBy>
  <dcterms:created xsi:type="dcterms:W3CDTF">2020-09-03T12:14:14Z</dcterms:created>
  <dcterms:modified xsi:type="dcterms:W3CDTF">2020-09-03T15:01:35Z</dcterms:modified>
</cp:coreProperties>
</file>