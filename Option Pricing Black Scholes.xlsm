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VBA Work\"/>
    </mc:Choice>
  </mc:AlternateContent>
  <xr:revisionPtr revIDLastSave="0" documentId="13_ncr:1_{D973406F-03A4-4CEA-9BC7-8C8CF614D482}" xr6:coauthVersionLast="46" xr6:coauthVersionMax="46" xr10:uidLastSave="{00000000-0000-0000-0000-000000000000}"/>
  <bookViews>
    <workbookView xWindow="-120" yWindow="-120" windowWidth="29040" windowHeight="15840" xr2:uid="{03B2980D-27CF-4BA6-91B0-0ABF4DA80F2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/>
  <c r="B13" i="1" a="1"/>
  <c r="B12" i="1" a="1"/>
  <c r="B11" i="1" a="1"/>
  <c r="B13" i="1" l="1"/>
  <c r="B12" i="1"/>
  <c r="B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<sst xmlns="http://schemas.openxmlformats.org/spreadsheetml/2006/main" count="18" uniqueCount="18">
  <si>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Black-Scholes Calculator</t>
  </si>
  <si>
    <t>S</t>
  </si>
  <si>
    <t>X</t>
  </si>
  <si>
    <t>r</t>
  </si>
  <si>
    <t>vol</t>
  </si>
  <si>
    <t>T</t>
  </si>
  <si>
    <t>Optype</t>
  </si>
  <si>
    <t>continuous prop. div</t>
  </si>
  <si>
    <t>Option Value</t>
  </si>
  <si>
    <t>Delta Value</t>
  </si>
  <si>
    <t>Vega Value</t>
  </si>
  <si>
    <t>Discrete Dividends</t>
  </si>
  <si>
    <t>Discrete Dividend Times</t>
  </si>
  <si>
    <t>Function Input Order</t>
  </si>
  <si>
    <t>BSPrice(S, X, r, vol, cont_div, T, Discrete_Divs, Div_times, Optype)</t>
  </si>
  <si>
    <t>BSDelta(S, X, r, vol, cont_div, T, Discrete_Divs, Div_times, Optype)</t>
  </si>
  <si>
    <t>BSVega(S, X, r, vol, cont_div, T, Discrete_Divs, Div_times, Optype)</t>
  </si>
  <si>
    <t>(1=Call, 2=Put)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</si>
</sst>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0.00000000000000000"/>
    <numFmt numFmtId="165" formatCode="0.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8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9711A-7ADB-487B-AA14-2A0A2D8F1069}">
  <sheetPr codeName="Sheet1"/>
  <dimension ref="A1:H18"/>
  <sheetViews>
    <sheetView tabSelected="1" workbookViewId="0">
      <selection activeCell="E9" sqref="E9"/>
    </sheetView>
  </sheetViews>
  <sheetFormatPr defaultRowHeight="15" x14ac:dyDescent="0.25"/>
  <cols>
    <col min="1" max="1" width="22.7109375" bestFit="1" customWidth="1"/>
    <col min="2" max="2" width="8.85546875" customWidth="1"/>
    <col min="4" max="4" width="17.85546875" bestFit="1" customWidth="1"/>
    <col min="5" max="5" width="37.140625" customWidth="1"/>
    <col min="8" max="8" width="33.42578125" customWidth="1"/>
  </cols>
  <sheetData>
    <row r="1" spans="1:8" x14ac:dyDescent="0.25">
      <c r="A1" t="s">
        <v>0</v>
      </c>
    </row>
    <row r="2" spans="1:8" x14ac:dyDescent="0.25">
      <c r="D2" t="s">
        <v>11</v>
      </c>
      <c r="E2" t="s">
        <v>12</v>
      </c>
      <c r="H2" s="2"/>
    </row>
    <row r="3" spans="1:8" x14ac:dyDescent="0.25">
      <c r="A3" t="s">
        <v>1</v>
      </c>
      <c r="B3">
        <v>125</v>
      </c>
      <c r="D3">
        <f>0.75</f>
        <v>0.75</v>
      </c>
      <c r="E3">
        <f>0.1</f>
        <v>0.1</v>
      </c>
    </row>
    <row r="4" spans="1:8" x14ac:dyDescent="0.25">
      <c r="A4" t="s">
        <v>2</v>
      </c>
      <c r="B4">
        <v>140</v>
      </c>
      <c r="D4">
        <v>0.6</v>
      </c>
      <c r="E4">
        <v>0.3</v>
      </c>
    </row>
    <row r="5" spans="1:8" x14ac:dyDescent="0.25">
      <c r="A5" t="s">
        <v>3</v>
      </c>
      <c r="B5">
        <v>0.02</v>
      </c>
      <c r="D5">
        <v>1.2</v>
      </c>
      <c r="E5">
        <v>0.5</v>
      </c>
    </row>
    <row r="6" spans="1:8" x14ac:dyDescent="0.25">
      <c r="A6" t="s">
        <v>4</v>
      </c>
      <c r="B6">
        <v>0.7</v>
      </c>
    </row>
    <row r="7" spans="1:8" x14ac:dyDescent="0.25">
      <c r="A7" t="s">
        <v>7</v>
      </c>
      <c r="B7">
        <v>0.5</v>
      </c>
    </row>
    <row r="8" spans="1:8" x14ac:dyDescent="0.25">
      <c r="A8" t="s">
        <v>5</v>
      </c>
      <c r="B8">
        <v>0.8</v>
      </c>
    </row>
    <row r="9" spans="1:8" x14ac:dyDescent="0.25">
      <c r="A9" t="s">
        <v>6</v>
      </c>
      <c r="B9">
        <v>2</v>
      </c>
      <c r="C9" t="s">
        <v>17</v>
      </c>
    </row>
    <row r="11" spans="1:8" x14ac:dyDescent="0.25">
      <c r="A11" t="s">
        <v>8</v>
      </c>
      <c r="B11" cm="1">
        <f t="array" ref="B11">BSPrice(B3,B4,B5,B6,B7,B8,D3:D5,E3:E5,B9)</f>
        <v>63.096431256195778</v>
      </c>
      <c r="D11" s="1"/>
      <c r="E11" s="3"/>
    </row>
    <row r="12" spans="1:8" x14ac:dyDescent="0.25">
      <c r="A12" t="s">
        <v>9</v>
      </c>
      <c r="B12" cm="1">
        <f t="array" ref="B12">BSDelta(B3,B4,B5,B6,B7,B8,D3:D5,E3:E5,B9)</f>
        <v>-0.46678860876215916</v>
      </c>
    </row>
    <row r="13" spans="1:8" x14ac:dyDescent="0.25">
      <c r="A13" t="s">
        <v>10</v>
      </c>
      <c r="B13" cm="1">
        <f t="array" ref="B13">BSVega(B3,B4,B5,B6,B7,B8,D3:D5,E3:E5,B9)</f>
        <v>25.66794118176924</v>
      </c>
    </row>
    <row r="15" spans="1:8" x14ac:dyDescent="0.25">
      <c r="A15" t="s">
        <v>13</v>
      </c>
    </row>
    <row r="16" spans="1:8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Zieleman</dc:creator>
  <cp:lastModifiedBy>Jim Zieleman</cp:lastModifiedBy>
  <dcterms:created xsi:type="dcterms:W3CDTF">2020-08-19T19:26:14Z</dcterms:created>
  <dcterms:modified xsi:type="dcterms:W3CDTF">2021-02-20T21:02:42Z</dcterms:modified>
</cp:coreProperties>
</file>