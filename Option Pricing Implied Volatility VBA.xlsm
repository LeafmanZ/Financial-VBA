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\Downloads\"/>
    </mc:Choice>
  </mc:AlternateContent>
  <xr:revisionPtr revIDLastSave="0" documentId="13_ncr:1_{17C010B4-3C11-4359-97BD-DE056F90B847}" xr6:coauthVersionLast="45" xr6:coauthVersionMax="45" xr10:uidLastSave="{00000000-0000-0000-0000-000000000000}"/>
  <bookViews>
    <workbookView xWindow="2370" yWindow="780" windowWidth="15375" windowHeight="10845" xr2:uid="{0E9B0014-D58E-4BFA-B5C3-0F1EE7D3BF3D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1" l="1"/>
  <c r="B5" i="1"/>
  <c r="B13" i="1" l="1" a="1"/>
  <c r="B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<sst xmlns="http://schemas.openxmlformats.org/spreadsheetml/2006/main" count="19" uniqueCount="19">
  <si>
    <t>Binomial Tree Calculator</t>
  </si>
  <si>
    <t>S</t>
  </si>
  <si>
    <t>X</t>
  </si>
  <si>
    <t>r</t>
  </si>
  <si>
    <t>vol</t>
  </si>
  <si>
    <t>div</t>
  </si>
  <si>
    <t>T</t>
  </si>
  <si>
    <t>steps</t>
  </si>
  <si>
    <t>Optype</t>
  </si>
  <si>
    <t>ExerType</t>
  </si>
  <si>
    <t>Discrete Divs</t>
  </si>
  <si>
    <t>Discrete Times</t>
  </si>
  <si>
    <t>Function Input Order</t>
  </si>
  <si>
    <t>CRRPrice(S, X, r, vol, div, T, steps, Optype, ExerType, d_div, d_time)</t>
  </si>
  <si>
    <t>CRRDelta(S, X, r, vol, div, T, steps, Optype, ExerType, d_div, d_time)</t>
  </si>
  <si>
    <t>CRRVega(S, X, r, vol, div, T, steps, Optype, ExerType, d_div, d_time)</t>
  </si>
  <si>
    <t>Observed price</t>
  </si>
  <si>
    <t>Implied Vol</t>
  </si>
  <si>
    <t>ImpliedVol(S, X, r, vol, div, T, steps, Optype, ExerType, d_div, d_time, observed_price)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</si>
</sst>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0000"/>
    <numFmt numFmtId="166" formatCode="0.0000"/>
    <numFmt numFmtId="167" formatCode="0.00000"/>
  </numFmts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NumberFormat="1"/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1" xfId="0" applyFill="1" applyBorder="1"/>
    <xf numFmtId="167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B44C5-9889-411B-BECE-C5B0BDB8ABD5}">
  <sheetPr codeName="Sheet1"/>
  <dimension ref="A1:F24"/>
  <sheetViews>
    <sheetView tabSelected="1" workbookViewId="0">
      <selection activeCell="F7" sqref="F7"/>
    </sheetView>
  </sheetViews>
  <sheetFormatPr defaultRowHeight="15" x14ac:dyDescent="0.25"/>
  <cols>
    <col min="1" max="1" width="23" bestFit="1" customWidth="1"/>
    <col min="2" max="2" width="15.85546875" customWidth="1"/>
    <col min="5" max="5" width="12.42578125" bestFit="1" customWidth="1"/>
    <col min="6" max="6" width="16" customWidth="1"/>
  </cols>
  <sheetData>
    <row r="1" spans="1:6" x14ac:dyDescent="0.25">
      <c r="A1" t="s">
        <v>0</v>
      </c>
    </row>
    <row r="2" spans="1:6" x14ac:dyDescent="0.25">
      <c r="A2" t="s">
        <v>1</v>
      </c>
      <c r="B2" s="6">
        <v>218</v>
      </c>
      <c r="E2" t="s">
        <v>10</v>
      </c>
      <c r="F2" t="s">
        <v>11</v>
      </c>
    </row>
    <row r="3" spans="1:6" x14ac:dyDescent="0.25">
      <c r="A3" t="s">
        <v>2</v>
      </c>
      <c r="B3" s="6">
        <v>210</v>
      </c>
      <c r="E3">
        <v>2.5</v>
      </c>
      <c r="F3" s="3">
        <v>8.3333333333333329E-2</v>
      </c>
    </row>
    <row r="4" spans="1:6" x14ac:dyDescent="0.25">
      <c r="A4" t="s">
        <v>3</v>
      </c>
      <c r="B4" s="6">
        <v>0.05</v>
      </c>
      <c r="E4">
        <v>4</v>
      </c>
      <c r="F4" s="2">
        <v>0.1</v>
      </c>
    </row>
    <row r="5" spans="1:6" x14ac:dyDescent="0.25">
      <c r="A5" t="s">
        <v>4</v>
      </c>
      <c r="B5" s="6">
        <f>0.35</f>
        <v>0.35</v>
      </c>
    </row>
    <row r="6" spans="1:6" x14ac:dyDescent="0.25">
      <c r="A6" t="s">
        <v>5</v>
      </c>
      <c r="B6" s="6">
        <v>0.3</v>
      </c>
    </row>
    <row r="7" spans="1:6" x14ac:dyDescent="0.25">
      <c r="A7" t="s">
        <v>6</v>
      </c>
      <c r="B7" s="6">
        <f>1/6</f>
        <v>0.16666666666666666</v>
      </c>
    </row>
    <row r="8" spans="1:6" x14ac:dyDescent="0.25">
      <c r="A8" t="s">
        <v>7</v>
      </c>
      <c r="B8" s="6">
        <v>10</v>
      </c>
    </row>
    <row r="9" spans="1:6" x14ac:dyDescent="0.25">
      <c r="A9" t="s">
        <v>8</v>
      </c>
      <c r="B9" s="6">
        <v>2</v>
      </c>
    </row>
    <row r="10" spans="1:6" x14ac:dyDescent="0.25">
      <c r="A10" t="s">
        <v>9</v>
      </c>
      <c r="B10" s="6">
        <v>2</v>
      </c>
    </row>
    <row r="11" spans="1:6" x14ac:dyDescent="0.25">
      <c r="A11" t="s">
        <v>16</v>
      </c>
      <c r="B11" s="6">
        <v>10.5</v>
      </c>
    </row>
    <row r="12" spans="1:6" x14ac:dyDescent="0.25">
      <c r="B12" s="1"/>
    </row>
    <row r="13" spans="1:6" x14ac:dyDescent="0.25">
      <c r="A13" t="s">
        <v>17</v>
      </c>
      <c r="B13" s="7" cm="1">
        <f t="array" ref="B13">ImpliedVol(B2,B3,B4,B5,B6,B7,B8,B9,B10,E3:E4,F3:F4,B11)</f>
        <v>0.19089999999999996</v>
      </c>
    </row>
    <row r="14" spans="1:6" x14ac:dyDescent="0.25">
      <c r="B14" s="5"/>
    </row>
    <row r="15" spans="1:6" x14ac:dyDescent="0.25">
      <c r="A15" t="s">
        <v>12</v>
      </c>
    </row>
    <row r="16" spans="1:6" x14ac:dyDescent="0.25">
      <c r="A16" t="s">
        <v>18</v>
      </c>
    </row>
    <row r="17" spans="1:2" x14ac:dyDescent="0.25">
      <c r="A17" t="s">
        <v>13</v>
      </c>
    </row>
    <row r="18" spans="1:2" x14ac:dyDescent="0.25">
      <c r="A18" t="s">
        <v>14</v>
      </c>
    </row>
    <row r="19" spans="1:2" x14ac:dyDescent="0.25">
      <c r="A19" t="s">
        <v>15</v>
      </c>
    </row>
    <row r="24" spans="1:2" x14ac:dyDescent="0.25">
      <c r="B24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Jim Zieleman</dc:creator>
  <cp:lastModifiedBy>Jim</cp:lastModifiedBy>
  <dcterms:created xsi:type="dcterms:W3CDTF">2020-08-20T14:58:10Z</dcterms:created>
  <dcterms:modified xsi:type="dcterms:W3CDTF">2020-10-15T01:21:59Z</dcterms:modified>
</cp:coreProperties>
</file>